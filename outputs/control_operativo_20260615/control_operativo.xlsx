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b2a3b079c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8e155c72def401a"/>
    <x:sheet xmlns:r="http://schemas.openxmlformats.org/officeDocument/2006/relationships" name="Registro" sheetId="2" r:id="R8d0519fe008143a1"/>
    <x:sheet xmlns:r="http://schemas.openxmlformats.org/officeDocument/2006/relationships" name="Alertas" sheetId="3" r:id="R7eedd83a13a4431d"/>
    <x:sheet xmlns:r="http://schemas.openxmlformats.org/officeDocument/2006/relationships" name="Listas" sheetId="4" r:id="Rd589f873a1f4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155E75"/>
      </x:patternFill>
    </x:fill>
    <x:fill>
      <x:patternFill patternType="solid">
        <x:fgColor rgb="FF9A3412"/>
      </x:patternFill>
    </x:fill>
  </x:fills>
  <x:borders count="6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155E75"/>
      </x:left>
      <x:right style="thin">
        <x:color rgb="FF155E75"/>
      </x:right>
      <x:top style="thin">
        <x:color rgb="FF155E75"/>
      </x:top>
      <x:bottom style="thin">
        <x:color rgb="FF155E75"/>
      </x:bottom>
    </x:border>
    <x:border>
      <x:left style="thin">
        <x:color rgb="FF9A3412"/>
      </x:left>
      <x:right style="thin">
        <x:color rgb="FF9A3412"/>
      </x:right>
      <x:top style="thin">
        <x:color rgb="FF9A3412"/>
      </x:top>
      <x:bottom style="thin">
        <x:color rgb="FF9A3412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4" xfId="0" applyNumberFormat="1" applyFont="1" applyFill="1" applyBorder="1"/>
    <x:xf numFmtId="200" fontId="0" fillId="4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8a89314f04a72" /><Relationship Type="http://schemas.openxmlformats.org/officeDocument/2006/relationships/theme" Target="/xl/theme/theme1.xml" Id="R68ca78fdd660442b" /><Relationship Type="http://schemas.openxmlformats.org/officeDocument/2006/relationships/sharedStrings" Target="/xl/sharedStrings.xml" Id="R31a56924f68241c4" /><Relationship Type="http://schemas.openxmlformats.org/officeDocument/2006/relationships/worksheet" Target="/xl/worksheets/sheet1.xml" Id="R38e155c72def401a" /><Relationship Type="http://schemas.openxmlformats.org/officeDocument/2006/relationships/worksheet" Target="/xl/worksheets/sheet2.xml" Id="R8d0519fe008143a1" /><Relationship Type="http://schemas.openxmlformats.org/officeDocument/2006/relationships/worksheet" Target="/xl/worksheets/sheet3.xml" Id="R7eedd83a13a4431d" /><Relationship Type="http://schemas.openxmlformats.org/officeDocument/2006/relationships/worksheet" Target="/xl/worksheets/sheet4.xml" Id="Rd589f873a1f44824" /></Relationships>
</file>

<file path=xl/tables/table1.xml><?xml version="1.0" encoding="utf-8"?>
<x:table xmlns:x="http://schemas.openxmlformats.org/spreadsheetml/2006/main" id="1" name="DeltasTable" displayName="DeltasTable" ref="A5:J65" headerRowCount="1">
  <x:tableColumns count="10">
    <x:tableColumn id="1" name="Delta"/>
    <x:tableColumn id="2" name="Fecha"/>
    <x:tableColumn id="3" name="Superficie"/>
    <x:tableColumn id="4" name="Objetivo"/>
    <x:tableColumn id="5" name="Playbook"/>
    <x:tableColumn id="6" name="Estado"/>
    <x:tableColumn id="7" name="Owner"/>
    <x:tableColumn id="8" name="Salida"/>
    <x:tableColumn id="9" name="Hito"/>
    <x:tableColumn id="10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AlertasTable" displayName="AlertasTable" ref="A5:F35" headerRowCount="1">
  <x:tableColumns count="6">
    <x:tableColumn id="1" name="Alerta"/>
    <x:tableColumn id="2" name="Severidad"/>
    <x:tableColumn id="3" name="Superficie"/>
    <x:tableColumn id="4" name="Condicion"/>
    <x:tableColumn id="5" name="Accion"/>
    <x:tableColumn id="6" name="Evid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df418afd354a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86678abca542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7" customHeight="1">
      <x:c r="A1" s="3" t="str">
        <x:v>Control operativo PROJEC CDX</x:v>
      </x:c>
      <x:c r="B1" s="3"/>
      <x:c r="C1" s="3"/>
      <x:c r="D1" s="3"/>
      <x:c r="E1" s="3"/>
      <x:c r="F1" s="3"/>
      <x:c r="G1" s="3"/>
      <x:c r="H1" s="3"/>
    </x:row>
    <x:row r="2">
      <x:c r="A2" s="7" t="str">
        <x:v>Tablero local para seguir deltas, alertas, evidencia y cierre. Fuente documental: operativa/CONTROL.md.</x:v>
      </x:c>
      <x:c r="B2" s="7"/>
      <x:c r="C2" s="7"/>
      <x:c r="D2" s="7"/>
      <x:c r="E2" s="7"/>
      <x:c r="F2" s="7"/>
      <x:c r="G2" s="7"/>
      <x:c r="H2" s="7"/>
    </x:row>
    <x:row r="3">
      <x:c r="A3" s="7"/>
      <x:c r="B3" s="7"/>
      <x:c r="C3" s="7"/>
      <x:c r="D3" s="7"/>
      <x:c r="E3" s="7"/>
      <x:c r="F3" s="7"/>
      <x:c r="G3" s="7"/>
      <x:c r="H3" s="7"/>
    </x:row>
    <x:row r="5">
      <x:c r="A5" s="3" t="str">
        <x:v>Metrica</x:v>
      </x:c>
      <x:c r="B5" s="3" t="str">
        <x:v>Valor</x:v>
      </x:c>
      <x:c r="D5" s="3" t="str">
        <x:v>Control desde aca</x:v>
      </x:c>
      <x:c r="E5" s="3"/>
      <x:c r="F5" s="3"/>
      <x:c r="G5" s="3"/>
      <x:c r="H5" s="3"/>
    </x:row>
    <x:row r="6">
      <x:c r="A6" s="10" t="str">
        <x:v>Total deltas</x:v>
      </x:c>
      <x:c r="B6" s="10" t="n">
        <x:f>COUNTA(Registro!$A$6:$A$65)</x:f>
        <x:v>9</x:v>
      </x:c>
      <x:c r="D6" s="7" t="str">
        <x:v>1. Entrar por START_HERE.
2. Declarar un delta en NEXT.
3. Ejecutar playbook.
4. Registrar evidencia y alertas.
5. Validar con tools/validate_proj_cdx_workbench.ps1.
6. Versionar hito si el cierre es durable.</x:v>
      </x:c>
      <x:c r="E6" s="7"/>
      <x:c r="F6" s="7"/>
      <x:c r="G6" s="7"/>
      <x:c r="H6" s="7"/>
    </x:row>
    <x:row r="7">
      <x:c r="A7" s="10" t="str">
        <x:v>Activos</x:v>
      </x:c>
      <x:c r="B7" s="10" t="n">
        <x:f>COUNTIF(Registro!$F$6:$F$65,"Activo")</x:f>
        <x:v>3</x:v>
      </x:c>
      <x:c r="D7" s="7"/>
      <x:c r="E7" s="7"/>
      <x:c r="F7" s="7"/>
      <x:c r="G7" s="7"/>
      <x:c r="H7" s="7"/>
    </x:row>
    <x:row r="8">
      <x:c r="A8" s="10" t="str">
        <x:v>Bloqueados</x:v>
      </x:c>
      <x:c r="B8" s="10" t="n">
        <x:f>COUNTIF(Registro!$F$6:$F$65,"Bloqueado")</x:f>
        <x:v>0</x:v>
      </x:c>
      <x:c r="D8" s="7"/>
      <x:c r="E8" s="7"/>
      <x:c r="F8" s="7"/>
      <x:c r="G8" s="7"/>
      <x:c r="H8" s="7"/>
    </x:row>
    <x:row r="9">
      <x:c r="A9" s="10" t="str">
        <x:v>Cerrados</x:v>
      </x:c>
      <x:c r="B9" s="10" t="n">
        <x:f>COUNTIF(Registro!$F$6:$F$65,"Cerrado")</x:f>
        <x:v>1</x:v>
      </x:c>
      <x:c r="D9" s="7"/>
      <x:c r="E9" s="7"/>
      <x:c r="F9" s="7"/>
      <x:c r="G9" s="7"/>
      <x:c r="H9" s="7"/>
    </x:row>
    <x:row r="10">
      <x:c r="A10" s="10" t="str">
        <x:v>Versionados</x:v>
      </x:c>
      <x:c r="B10" s="10" t="n">
        <x:f>COUNTIF(Registro!$F$6:$F$65,"Versionado")</x:f>
        <x:v>4</x:v>
      </x:c>
      <x:c r="D10" s="7"/>
      <x:c r="E10" s="7"/>
      <x:c r="F10" s="7"/>
      <x:c r="G10" s="7"/>
      <x:c r="H10" s="7"/>
    </x:row>
    <x:row r="11">
      <x:c r="A11" s="10" t="str">
        <x:v>Alertas altas</x:v>
      </x:c>
      <x:c r="B11" s="10" t="n">
        <x:f>COUNTIF(Alertas!$B$6:$B$35,"Alta")</x:f>
        <x:v>1</x:v>
      </x:c>
      <x:c r="D11" s="7"/>
      <x:c r="E11" s="7"/>
      <x:c r="F11" s="7"/>
      <x:c r="G11" s="7"/>
      <x:c r="H11" s="7"/>
    </x:row>
    <x:row r="12">
      <x:c r="A12" s="10" t="str">
        <x:v>Sin hito</x:v>
      </x:c>
      <x:c r="B12" s="10" t="n">
        <x:f>COUNTIF(Registro!$I$6:$I$65,"")</x:f>
        <x:v>0</x:v>
      </x:c>
      <x:c r="D12" s="7"/>
      <x:c r="E12" s="7"/>
      <x:c r="F12" s="7"/>
      <x:c r="G12" s="7"/>
      <x:c r="H12" s="7"/>
    </x:row>
  </x:sheetData>
  <x:mergeCells>
    <x:mergeCell ref="A1:H1"/>
    <x:mergeCell ref="A2:H3"/>
    <x:mergeCell ref="D5:H5"/>
    <x:mergeCell ref="D6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5" max="5" width="16.25" hidden="0" customWidth="1"/>
    <x:col min="6" max="6" width="16.25" hidden="0" customWidth="1"/>
    <x:col min="7" max="7" width="16.25" hidden="0" customWidth="1"/>
    <x:col min="4" max="4" width="37.5" hidden="0" customWidth="1"/>
    <x:col min="8" max="8" width="37.5" hidden="0" customWidth="1"/>
    <x:col min="9" max="9" width="30" hidden="0" customWidth="1"/>
    <x:col min="10" max="10" width="37.5" hidden="0" customWidth="1"/>
  </x:cols>
  <x:sheetData>
    <x:row r="1">
      <x:c r="A1" s="13" t="str">
        <x:v>Registro de deltas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3">
      <x:c r="A3" s="7" t="str">
        <x:v>Una fila por unidad atomica de trabajo.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3" t="str">
        <x:v>Delta</x:v>
      </x:c>
      <x:c r="B5" s="3" t="str">
        <x:v>Fecha</x:v>
      </x:c>
      <x:c r="C5" s="3" t="str">
        <x:v>Superficie</x:v>
      </x:c>
      <x:c r="D5" s="3" t="str">
        <x:v>Objetivo</x:v>
      </x:c>
      <x:c r="E5" s="3" t="str">
        <x:v>Playbook</x:v>
      </x:c>
      <x:c r="F5" s="3" t="str">
        <x:v>Estado</x:v>
      </x:c>
      <x:c r="G5" s="3" t="str">
        <x:v>Owner</x:v>
      </x:c>
      <x:c r="H5" s="3" t="str">
        <x:v>Salida</x:v>
      </x:c>
      <x:c r="I5" s="3" t="str">
        <x:v>Hito</x:v>
      </x:c>
      <x:c r="J5" s="3" t="str">
        <x:v>Notas</x:v>
      </x:c>
    </x:row>
    <x:row r="6">
      <x:c r="A6" s="10" t="str">
        <x:v>DELTA-001</x:v>
      </x:c>
      <x:c r="B6" s="14" t="str">
        <x:v>2026-06-15</x:v>
      </x:c>
      <x:c r="C6" s="10" t="str">
        <x:v>operativa</x:v>
      </x:c>
      <x:c r="D6" s="10" t="str">
        <x:v>Estado actual del trabajo de `PROJEC CDX`.</x:v>
      </x:c>
      <x:c r="E6" s="10" t="str">
        <x:v>00-preflight-gobernado</x:v>
      </x:c>
      <x:c r="F6" s="10" t="str">
        <x:v>Activo</x:v>
      </x:c>
      <x:c r="G6" s="10" t="str">
        <x:v>Codex local</x:v>
      </x:c>
      <x:c r="H6" s="10" t="str">
        <x:v>START_HERE, PROMPT_NUEVO_HILO, CONTROL, CURRENT, NEXT, BLOCKERS, TRACE</x:v>
      </x:c>
      <x:c r="I6" s="10" t="str">
        <x:v>hitos/20260615-cierre-workbench-v1</x:v>
      </x:c>
      <x:c r="J6" s="10" t="str">
        <x:v>Mesa viva para que nuevos hilos nazcan con contexto.</x:v>
      </x:c>
    </x:row>
    <x:row r="7">
      <x:c r="A7" s="10" t="str">
        <x:v>DELTA-002</x:v>
      </x:c>
      <x:c r="B7" s="14" t="str">
        <x:v>2026-06-15</x:v>
      </x:c>
      <x:c r="C7" s="10" t="str">
        <x:v>playbooks</x:v>
      </x:c>
      <x:c r="D7" s="10" t="str">
        <x:v>Completar secuencia 00 a 07 con validacion y aprendizaje.</x:v>
      </x:c>
      <x:c r="E7" s="10" t="str">
        <x:v>05-promover-aprendizaje</x:v>
      </x:c>
      <x:c r="F7" s="10" t="str">
        <x:v>Versionado</x:v>
      </x:c>
      <x:c r="G7" s="10" t="str">
        <x:v>Codex local</x:v>
      </x:c>
      <x:c r="H7" s="10" t="str">
        <x:v>playbooks/00 a 07 agregados y enlazados.</x:v>
      </x:c>
      <x:c r="I7" s="10" t="str">
        <x:v>hitos/20260615-cierre-workbench-v1</x:v>
      </x:c>
      <x:c r="J7" s="10" t="str">
        <x:v>El conocimiento operativo queda promovible a canon, hito, tool o playbook.</x:v>
      </x:c>
    </x:row>
    <x:row r="8">
      <x:c r="A8" s="10" t="str">
        <x:v>DELTA-003</x:v>
      </x:c>
      <x:c r="B8" s="14" t="str">
        <x:v>2026-06-15</x:v>
      </x:c>
      <x:c r="C8" s="10" t="str">
        <x:v>tools</x:v>
      </x:c>
      <x:c r="D8" s="10" t="str">
        <x:v>Validar el workbench sin tocar superficies live.</x:v>
      </x:c>
      <x:c r="E8" s="10" t="str">
        <x:v>04-validar-delta</x:v>
      </x:c>
      <x:c r="F8" s="10" t="str">
        <x:v>Activo</x:v>
      </x:c>
      <x:c r="G8" s="10" t="str">
        <x:v>Codex local</x:v>
      </x:c>
      <x:c r="H8" s="10" t="str">
        <x:v>tools/validate_proj_cdx_workbench.ps1</x:v>
      </x:c>
      <x:c r="I8" s="10" t="str">
        <x:v>hitos/20260615-cierre-workbench-v1</x:v>
      </x:c>
      <x:c r="J8" s="10" t="str">
        <x:v>Validador read-only: archivos requeridos, mapas, links, xlsx y formulas.</x:v>
      </x:c>
    </x:row>
    <x:row r="9">
      <x:c r="A9" s="10" t="str">
        <x:v>DELTA-004</x:v>
      </x:c>
      <x:c r="B9" s="14" t="str">
        <x:v>2026-06-15</x:v>
      </x:c>
      <x:c r="C9" s="10" t="str">
        <x:v>workbooks</x:v>
      </x:c>
      <x:c r="D9" s="10" t="str">
        <x:v>Convertir control_operativo.xlsx en tablero real.</x:v>
      </x:c>
      <x:c r="E9" s="10" t="str">
        <x:v>04-validar-delta</x:v>
      </x:c>
      <x:c r="F9" s="10" t="str">
        <x:v>Activo</x:v>
      </x:c>
      <x:c r="G9" s="10" t="str">
        <x:v>Codex local</x:v>
      </x:c>
      <x:c r="H9" s="10" t="str">
        <x:v>workbooks/control_operativo.xlsx y outputs/control_operativo_20260615</x:v>
      </x:c>
      <x:c r="I9" s="10" t="str">
        <x:v>hitos/20260615-cierre-workbench-v1</x:v>
      </x:c>
      <x:c r="J9" s="10" t="str">
        <x:v>Incluye Resumen, Registro, Alertas y Listas.</x:v>
      </x:c>
    </x:row>
    <x:row r="10">
      <x:c r="A10" s="10" t="str">
        <x:v>DELTA-005</x:v>
      </x:c>
      <x:c r="B10" s="14" t="str">
        <x:v>2026-06-15</x:v>
      </x:c>
      <x:c r="C10" s="10" t="str">
        <x:v>dataverse</x:v>
      </x:c>
      <x:c r="D10" s="10" t="str">
        <x:v>Mantener Dataverse en carril local/metadata-only hasta orden explicita.</x:v>
      </x:c>
      <x:c r="E10" s="10" t="str">
        <x:v>06-dataverse-gobernado</x:v>
      </x:c>
      <x:c r="F10" s="10" t="str">
        <x:v>Preparado</x:v>
      </x:c>
      <x:c r="G10" s="10" t="str">
        <x:v>Codex local</x:v>
      </x:c>
      <x:c r="H10" s="10" t="str">
        <x:v>dataverse/GATE.md y READBACK_EXCEL_BLOCKER_FRONTIER.md</x:v>
      </x:c>
      <x:c r="I10" s="10" t="str">
        <x:v>hitos/20260615-cierre-workbench-v1</x:v>
      </x:c>
      <x:c r="J10" s="10" t="str">
        <x:v>Gate local para cualquier trabajo Dataverse desde `PROJEC CDX`.</x:v>
      </x:c>
    </x:row>
    <x:row r="11">
      <x:c r="A11" s="10" t="str">
        <x:v>DELTA-006</x:v>
      </x:c>
      <x:c r="B11" s="14" t="str">
        <x:v>2026-06-15</x:v>
      </x:c>
      <x:c r="C11" s="10" t="str">
        <x:v>dataverse</x:v>
      </x:c>
      <x:c r="D11" s="10" t="str">
        <x:v>Dataverse sirve mejor como registro de bloqueos, decisiones y escaladas humanas que como inventario general.</x:v>
      </x:c>
      <x:c r="E11" s="10" t="str">
        <x:v>07-dataverse-fronteras</x:v>
      </x:c>
      <x:c r="F11" s="10" t="str">
        <x:v>Versionado</x:v>
      </x:c>
      <x:c r="G11" s="10" t="str">
        <x:v>Codex local</x:v>
      </x:c>
      <x:c r="H11" s="10" t="str">
        <x:v>dataverse/REGISTRO_BLOQUEOS.md y playbooks/07-dataverse-fronteras.md</x:v>
      </x:c>
      <x:c r="I11" s="10" t="str">
        <x:v>hitos/20260615-hilo-origen-v1</x:v>
      </x:c>
      <x:c r="J11" s="10" t="str">
        <x:v>Dataverse sirve mejor como registro de bloqueos, decisiones y escaladas humanas que como inventario general.</x:v>
      </x:c>
    </x:row>
    <x:row r="12">
      <x:c r="A12" s="10" t="str">
        <x:v>DELTA-007</x:v>
      </x:c>
      <x:c r="B12" s="14" t="str">
        <x:v>2026-06-15</x:v>
      </x:c>
      <x:c r="C12" s="10" t="str">
        <x:v>hitos</x:v>
      </x:c>
      <x:c r="D12" s="10" t="str">
        <x:v>Versiona el rastreo completo del hilo de origen de `PROJEC CDX` como paquete padre sobre los hitos ya cerrados.</x:v>
      </x:c>
      <x:c r="E12" s="10" t="str">
        <x:v>05-promover-aprendizaje</x:v>
      </x:c>
      <x:c r="F12" s="10" t="str">
        <x:v>Versionado</x:v>
      </x:c>
      <x:c r="G12" s="10" t="str">
        <x:v>Codex local</x:v>
      </x:c>
      <x:c r="H12" s="10" t="str">
        <x:v>hitos/20260615-hilo-origen-v1</x:v>
      </x:c>
      <x:c r="I12" s="10" t="str">
        <x:v>hitos/20260615-hilo-origen-v1</x:v>
      </x:c>
      <x:c r="J12" s="10" t="str">
        <x:v>El hilo queda navegable por capas, con detalle en hitos hijos.</x:v>
      </x:c>
    </x:row>
    <x:row r="13">
      <x:c r="A13" s="10" t="str">
        <x:v>DELTA-008</x:v>
      </x:c>
      <x:c r="B13" s="14" t="str">
        <x:v>2026-06-15</x:v>
      </x:c>
      <x:c r="C13" s="10" t="str">
        <x:v>hitos</x:v>
      </x:c>
      <x:c r="D13" s="10" t="str">
        <x:v>Cerrar la cadena CodexLocal, Documents GitHub y Auditar con acta y TODO visible.</x:v>
      </x:c>
      <x:c r="E13" s="10" t="str">
        <x:v>03-cerrar-delta</x:v>
      </x:c>
      <x:c r="F13" s="10" t="str">
        <x:v>Versionado</x:v>
      </x:c>
      <x:c r="G13" s="10" t="str">
        <x:v>Codex local</x:v>
      </x:c>
      <x:c r="H13" s="10" t="str">
        <x:v>operativa/ACTA_CIERRE_CADENA_GITHUB_AUDITAR_20260615.md y operativa/TODO_20260615.md</x:v>
      </x:c>
      <x:c r="I13" s="10" t="str">
        <x:v>hitos/20260615-cierre-cadena-github-auditar-v1</x:v>
      </x:c>
      <x:c r="J13" s="10" t="str">
        <x:v>Lista corta de pendientes vivos de `PROJEC CDX`.</x:v>
      </x:c>
    </x:row>
    <x:row r="14">
      <x:c r="A14" s="10" t="str">
        <x:v>DELTA-009</x:v>
      </x:c>
      <x:c r="B14" s="14" t="str">
        <x:v>2026-06-15</x:v>
      </x:c>
      <x:c r="C14" s="10" t="str">
        <x:v>github</x:v>
      </x:c>
      <x:c r="D14" s="10" t="str">
        <x:v>Cerrar semaforo historico con revision live-read-only de repos canonicos.</x:v>
      </x:c>
      <x:c r="E14" s="10" t="str">
        <x:v>08-github-readonly-cierre</x:v>
      </x:c>
      <x:c r="F14" s="10" t="str">
        <x:v>Cerrado</x:v>
      </x:c>
      <x:c r="G14" s="10" t="str">
        <x:v>Rey repo cartographer</x:v>
      </x:c>
      <x:c r="H14" s="10" t="str">
        <x:v>outputs/live_repo_review_20260615 y operativa/ACTA_SEMAFORO_VERDE_HISTORICOS_20260615.md</x:v>
      </x:c>
      <x:c r="I14" s="10" t="str">
        <x:v>hitos/20260615-semaforo-verde-historicos-v1</x:v>
      </x:c>
      <x:c r="J14" s="10" t="str">
        <x:v>HECHO_VERIFICADO: revision GitHub live read-only completada.</x:v>
      </x:c>
    </x:row>
    <x:row r="15">
      <x:c r="A15" s="10"/>
      <x:c r="B15" s="14"/>
      <x:c r="C15" s="10"/>
      <x:c r="D15" s="10"/>
      <x:c r="E15" s="10"/>
      <x:c r="F15" s="10"/>
      <x:c r="G15" s="10"/>
      <x:c r="H15" s="10"/>
      <x:c r="I15" s="10"/>
      <x:c r="J15" s="10"/>
    </x:row>
    <x:row r="16">
      <x:c r="A16" s="10"/>
      <x:c r="B16" s="14"/>
      <x:c r="C16" s="10"/>
      <x:c r="D16" s="10"/>
      <x:c r="E16" s="10"/>
      <x:c r="F16" s="10"/>
      <x:c r="G16" s="10"/>
      <x:c r="H16" s="10"/>
      <x:c r="I16" s="10"/>
      <x:c r="J16" s="10"/>
    </x:row>
    <x:row r="17">
      <x:c r="A17" s="10"/>
      <x:c r="B17" s="14"/>
      <x:c r="C17" s="10"/>
      <x:c r="D17" s="10"/>
      <x:c r="E17" s="10"/>
      <x:c r="F17" s="10"/>
      <x:c r="G17" s="10"/>
      <x:c r="H17" s="10"/>
      <x:c r="I17" s="10"/>
      <x:c r="J17" s="10"/>
    </x:row>
    <x:row r="18">
      <x:c r="A18" s="10"/>
      <x:c r="B18" s="14"/>
      <x:c r="C18" s="10"/>
      <x:c r="D18" s="10"/>
      <x:c r="E18" s="10"/>
      <x:c r="F18" s="10"/>
      <x:c r="G18" s="10"/>
      <x:c r="H18" s="10"/>
      <x:c r="I18" s="10"/>
      <x:c r="J18" s="10"/>
    </x:row>
    <x:row r="19">
      <x:c r="A19" s="10"/>
      <x:c r="B19" s="14"/>
      <x:c r="C19" s="10"/>
      <x:c r="D19" s="10"/>
      <x:c r="E19" s="10"/>
      <x:c r="F19" s="10"/>
      <x:c r="G19" s="10"/>
      <x:c r="H19" s="10"/>
      <x:c r="I19" s="10"/>
      <x:c r="J19" s="10"/>
    </x:row>
    <x:row r="20">
      <x:c r="A20" s="10"/>
      <x:c r="B20" s="14"/>
      <x:c r="C20" s="10"/>
      <x:c r="D20" s="10"/>
      <x:c r="E20" s="10"/>
      <x:c r="F20" s="10"/>
      <x:c r="G20" s="10"/>
      <x:c r="H20" s="10"/>
      <x:c r="I20" s="10"/>
      <x:c r="J20" s="10"/>
    </x:row>
    <x:row r="21">
      <x:c r="A21" s="10"/>
      <x:c r="B21" s="14"/>
      <x:c r="C21" s="10"/>
      <x:c r="D21" s="10"/>
      <x:c r="E21" s="10"/>
      <x:c r="F21" s="10"/>
      <x:c r="G21" s="10"/>
      <x:c r="H21" s="10"/>
      <x:c r="I21" s="10"/>
      <x:c r="J21" s="10"/>
    </x:row>
    <x:row r="22">
      <x:c r="A22" s="10"/>
      <x:c r="B22" s="14"/>
      <x:c r="C22" s="10"/>
      <x:c r="D22" s="10"/>
      <x:c r="E22" s="10"/>
      <x:c r="F22" s="10"/>
      <x:c r="G22" s="10"/>
      <x:c r="H22" s="10"/>
      <x:c r="I22" s="10"/>
      <x:c r="J22" s="10"/>
    </x:row>
    <x:row r="23">
      <x:c r="A23" s="10"/>
      <x:c r="B23" s="14"/>
      <x:c r="C23" s="10"/>
      <x:c r="D23" s="10"/>
      <x:c r="E23" s="10"/>
      <x:c r="F23" s="10"/>
      <x:c r="G23" s="10"/>
      <x:c r="H23" s="10"/>
      <x:c r="I23" s="10"/>
      <x:c r="J23" s="10"/>
    </x:row>
    <x:row r="24">
      <x:c r="A24" s="10"/>
      <x:c r="B24" s="14"/>
      <x:c r="C24" s="10"/>
      <x:c r="D24" s="10"/>
      <x:c r="E24" s="10"/>
      <x:c r="F24" s="10"/>
      <x:c r="G24" s="10"/>
      <x:c r="H24" s="10"/>
      <x:c r="I24" s="10"/>
      <x:c r="J24" s="10"/>
    </x:row>
    <x:row r="25">
      <x:c r="A25" s="10"/>
      <x:c r="B25" s="14"/>
      <x:c r="C25" s="10"/>
      <x:c r="D25" s="10"/>
      <x:c r="E25" s="10"/>
      <x:c r="F25" s="10"/>
      <x:c r="G25" s="10"/>
      <x:c r="H25" s="10"/>
      <x:c r="I25" s="10"/>
      <x:c r="J25" s="10"/>
    </x:row>
    <x:row r="26">
      <x:c r="A26" s="10"/>
      <x:c r="B26" s="14"/>
      <x:c r="C26" s="10"/>
      <x:c r="D26" s="10"/>
      <x:c r="E26" s="10"/>
      <x:c r="F26" s="10"/>
      <x:c r="G26" s="10"/>
      <x:c r="H26" s="10"/>
      <x:c r="I26" s="10"/>
      <x:c r="J26" s="10"/>
    </x:row>
    <x:row r="27">
      <x:c r="A27" s="10"/>
      <x:c r="B27" s="14"/>
      <x:c r="C27" s="10"/>
      <x:c r="D27" s="10"/>
      <x:c r="E27" s="10"/>
      <x:c r="F27" s="10"/>
      <x:c r="G27" s="10"/>
      <x:c r="H27" s="10"/>
      <x:c r="I27" s="10"/>
      <x:c r="J27" s="10"/>
    </x:row>
    <x:row r="28">
      <x:c r="A28" s="10"/>
      <x:c r="B28" s="14"/>
      <x:c r="C28" s="10"/>
      <x:c r="D28" s="10"/>
      <x:c r="E28" s="10"/>
      <x:c r="F28" s="10"/>
      <x:c r="G28" s="10"/>
      <x:c r="H28" s="10"/>
      <x:c r="I28" s="10"/>
      <x:c r="J28" s="10"/>
    </x:row>
    <x:row r="29">
      <x:c r="A29" s="10"/>
      <x:c r="B29" s="14"/>
      <x:c r="C29" s="10"/>
      <x:c r="D29" s="10"/>
      <x:c r="E29" s="10"/>
      <x:c r="F29" s="10"/>
      <x:c r="G29" s="10"/>
      <x:c r="H29" s="10"/>
      <x:c r="I29" s="10"/>
      <x:c r="J29" s="10"/>
    </x:row>
    <x:row r="30">
      <x:c r="A30" s="10"/>
      <x:c r="B30" s="14"/>
      <x:c r="C30" s="10"/>
      <x:c r="D30" s="10"/>
      <x:c r="E30" s="10"/>
      <x:c r="F30" s="10"/>
      <x:c r="G30" s="10"/>
      <x:c r="H30" s="10"/>
      <x:c r="I30" s="10"/>
      <x:c r="J30" s="10"/>
    </x:row>
    <x:row r="31">
      <x:c r="A31" s="10"/>
      <x:c r="B31" s="14"/>
      <x:c r="C31" s="10"/>
      <x:c r="D31" s="10"/>
      <x:c r="E31" s="10"/>
      <x:c r="F31" s="10"/>
      <x:c r="G31" s="10"/>
      <x:c r="H31" s="10"/>
      <x:c r="I31" s="10"/>
      <x:c r="J31" s="10"/>
    </x:row>
    <x:row r="32">
      <x:c r="A32" s="10"/>
      <x:c r="B32" s="14"/>
      <x:c r="C32" s="10"/>
      <x:c r="D32" s="10"/>
      <x:c r="E32" s="10"/>
      <x:c r="F32" s="10"/>
      <x:c r="G32" s="10"/>
      <x:c r="H32" s="10"/>
      <x:c r="I32" s="10"/>
      <x:c r="J32" s="10"/>
    </x:row>
    <x:row r="33">
      <x:c r="A33" s="10"/>
      <x:c r="B33" s="14"/>
      <x:c r="C33" s="10"/>
      <x:c r="D33" s="10"/>
      <x:c r="E33" s="10"/>
      <x:c r="F33" s="10"/>
      <x:c r="G33" s="10"/>
      <x:c r="H33" s="10"/>
      <x:c r="I33" s="10"/>
      <x:c r="J33" s="10"/>
    </x:row>
    <x:row r="34">
      <x:c r="A34" s="10"/>
      <x:c r="B34" s="14"/>
      <x:c r="C34" s="10"/>
      <x:c r="D34" s="10"/>
      <x:c r="E34" s="10"/>
      <x:c r="F34" s="10"/>
      <x:c r="G34" s="10"/>
      <x:c r="H34" s="10"/>
      <x:c r="I34" s="10"/>
      <x:c r="J34" s="10"/>
    </x:row>
    <x:row r="35">
      <x:c r="A35" s="10"/>
      <x:c r="B35" s="14"/>
      <x:c r="C35" s="10"/>
      <x:c r="D35" s="10"/>
      <x:c r="E35" s="10"/>
      <x:c r="F35" s="10"/>
      <x:c r="G35" s="10"/>
      <x:c r="H35" s="10"/>
      <x:c r="I35" s="10"/>
      <x:c r="J35" s="10"/>
    </x:row>
    <x:row r="36">
      <x:c r="A36" s="10"/>
      <x:c r="B36" s="14"/>
      <x:c r="C36" s="10"/>
      <x:c r="D36" s="10"/>
      <x:c r="E36" s="10"/>
      <x:c r="F36" s="10"/>
      <x:c r="G36" s="10"/>
      <x:c r="H36" s="10"/>
      <x:c r="I36" s="10"/>
      <x:c r="J36" s="10"/>
    </x:row>
    <x:row r="37">
      <x:c r="A37" s="10"/>
      <x:c r="B37" s="14"/>
      <x:c r="C37" s="10"/>
      <x:c r="D37" s="10"/>
      <x:c r="E37" s="10"/>
      <x:c r="F37" s="10"/>
      <x:c r="G37" s="10"/>
      <x:c r="H37" s="10"/>
      <x:c r="I37" s="10"/>
      <x:c r="J37" s="10"/>
    </x:row>
    <x:row r="38">
      <x:c r="A38" s="10"/>
      <x:c r="B38" s="14"/>
      <x:c r="C38" s="10"/>
      <x:c r="D38" s="10"/>
      <x:c r="E38" s="10"/>
      <x:c r="F38" s="10"/>
      <x:c r="G38" s="10"/>
      <x:c r="H38" s="10"/>
      <x:c r="I38" s="10"/>
      <x:c r="J38" s="10"/>
    </x:row>
    <x:row r="39">
      <x:c r="A39" s="10"/>
      <x:c r="B39" s="14"/>
      <x:c r="C39" s="10"/>
      <x:c r="D39" s="10"/>
      <x:c r="E39" s="10"/>
      <x:c r="F39" s="10"/>
      <x:c r="G39" s="10"/>
      <x:c r="H39" s="10"/>
      <x:c r="I39" s="10"/>
      <x:c r="J39" s="10"/>
    </x:row>
    <x:row r="40">
      <x:c r="A40" s="10"/>
      <x:c r="B40" s="14"/>
      <x:c r="C40" s="10"/>
      <x:c r="D40" s="10"/>
      <x:c r="E40" s="10"/>
      <x:c r="F40" s="10"/>
      <x:c r="G40" s="10"/>
      <x:c r="H40" s="10"/>
      <x:c r="I40" s="10"/>
      <x:c r="J40" s="10"/>
    </x:row>
    <x:row r="41">
      <x:c r="A41" s="10"/>
      <x:c r="B41" s="14"/>
      <x:c r="C41" s="10"/>
      <x:c r="D41" s="10"/>
      <x:c r="E41" s="10"/>
      <x:c r="F41" s="10"/>
      <x:c r="G41" s="10"/>
      <x:c r="H41" s="10"/>
      <x:c r="I41" s="10"/>
      <x:c r="J41" s="10"/>
    </x:row>
    <x:row r="42">
      <x:c r="A42" s="10"/>
      <x:c r="B42" s="14"/>
      <x:c r="C42" s="10"/>
      <x:c r="D42" s="10"/>
      <x:c r="E42" s="10"/>
      <x:c r="F42" s="10"/>
      <x:c r="G42" s="10"/>
      <x:c r="H42" s="10"/>
      <x:c r="I42" s="10"/>
      <x:c r="J42" s="10"/>
    </x:row>
    <x:row r="43">
      <x:c r="A43" s="10"/>
      <x:c r="B43" s="14"/>
      <x:c r="C43" s="10"/>
      <x:c r="D43" s="10"/>
      <x:c r="E43" s="10"/>
      <x:c r="F43" s="10"/>
      <x:c r="G43" s="10"/>
      <x:c r="H43" s="10"/>
      <x:c r="I43" s="10"/>
      <x:c r="J43" s="10"/>
    </x:row>
    <x:row r="44">
      <x:c r="A44" s="10"/>
      <x:c r="B44" s="14"/>
      <x:c r="C44" s="10"/>
      <x:c r="D44" s="10"/>
      <x:c r="E44" s="10"/>
      <x:c r="F44" s="10"/>
      <x:c r="G44" s="10"/>
      <x:c r="H44" s="10"/>
      <x:c r="I44" s="10"/>
      <x:c r="J44" s="10"/>
    </x:row>
    <x:row r="45">
      <x:c r="A45" s="10"/>
      <x:c r="B45" s="14"/>
      <x:c r="C45" s="10"/>
      <x:c r="D45" s="10"/>
      <x:c r="E45" s="10"/>
      <x:c r="F45" s="10"/>
      <x:c r="G45" s="10"/>
      <x:c r="H45" s="10"/>
      <x:c r="I45" s="10"/>
      <x:c r="J45" s="10"/>
    </x:row>
    <x:row r="46">
      <x:c r="A46" s="10"/>
      <x:c r="B46" s="14"/>
      <x:c r="C46" s="10"/>
      <x:c r="D46" s="10"/>
      <x:c r="E46" s="10"/>
      <x:c r="F46" s="10"/>
      <x:c r="G46" s="10"/>
      <x:c r="H46" s="10"/>
      <x:c r="I46" s="10"/>
      <x:c r="J46" s="10"/>
    </x:row>
    <x:row r="47">
      <x:c r="A47" s="10"/>
      <x:c r="B47" s="14"/>
      <x:c r="C47" s="10"/>
      <x:c r="D47" s="10"/>
      <x:c r="E47" s="10"/>
      <x:c r="F47" s="10"/>
      <x:c r="G47" s="10"/>
      <x:c r="H47" s="10"/>
      <x:c r="I47" s="10"/>
      <x:c r="J47" s="10"/>
    </x:row>
    <x:row r="48">
      <x:c r="A48" s="10"/>
      <x:c r="B48" s="14"/>
      <x:c r="C48" s="10"/>
      <x:c r="D48" s="10"/>
      <x:c r="E48" s="10"/>
      <x:c r="F48" s="10"/>
      <x:c r="G48" s="10"/>
      <x:c r="H48" s="10"/>
      <x:c r="I48" s="10"/>
      <x:c r="J48" s="10"/>
    </x:row>
    <x:row r="49">
      <x:c r="A49" s="10"/>
      <x:c r="B49" s="14"/>
      <x:c r="C49" s="10"/>
      <x:c r="D49" s="10"/>
      <x:c r="E49" s="10"/>
      <x:c r="F49" s="10"/>
      <x:c r="G49" s="10"/>
      <x:c r="H49" s="10"/>
      <x:c r="I49" s="10"/>
      <x:c r="J49" s="10"/>
    </x:row>
    <x:row r="50">
      <x:c r="A50" s="10"/>
      <x:c r="B50" s="14"/>
      <x:c r="C50" s="10"/>
      <x:c r="D50" s="10"/>
      <x:c r="E50" s="10"/>
      <x:c r="F50" s="10"/>
      <x:c r="G50" s="10"/>
      <x:c r="H50" s="10"/>
      <x:c r="I50" s="10"/>
      <x:c r="J50" s="10"/>
    </x:row>
    <x:row r="51">
      <x:c r="A51" s="10"/>
      <x:c r="B51" s="14"/>
      <x:c r="C51" s="10"/>
      <x:c r="D51" s="10"/>
      <x:c r="E51" s="10"/>
      <x:c r="F51" s="10"/>
      <x:c r="G51" s="10"/>
      <x:c r="H51" s="10"/>
      <x:c r="I51" s="10"/>
      <x:c r="J51" s="10"/>
    </x:row>
    <x:row r="52">
      <x:c r="A52" s="10"/>
      <x:c r="B52" s="14"/>
      <x:c r="C52" s="10"/>
      <x:c r="D52" s="10"/>
      <x:c r="E52" s="10"/>
      <x:c r="F52" s="10"/>
      <x:c r="G52" s="10"/>
      <x:c r="H52" s="10"/>
      <x:c r="I52" s="10"/>
      <x:c r="J52" s="10"/>
    </x:row>
    <x:row r="53">
      <x:c r="A53" s="10"/>
      <x:c r="B53" s="14"/>
      <x:c r="C53" s="10"/>
      <x:c r="D53" s="10"/>
      <x:c r="E53" s="10"/>
      <x:c r="F53" s="10"/>
      <x:c r="G53" s="10"/>
      <x:c r="H53" s="10"/>
      <x:c r="I53" s="10"/>
      <x:c r="J53" s="10"/>
    </x:row>
    <x:row r="54">
      <x:c r="A54" s="10"/>
      <x:c r="B54" s="14"/>
      <x:c r="C54" s="10"/>
      <x:c r="D54" s="10"/>
      <x:c r="E54" s="10"/>
      <x:c r="F54" s="10"/>
      <x:c r="G54" s="10"/>
      <x:c r="H54" s="10"/>
      <x:c r="I54" s="10"/>
      <x:c r="J54" s="10"/>
    </x:row>
    <x:row r="55">
      <x:c r="A55" s="10"/>
      <x:c r="B55" s="14"/>
      <x:c r="C55" s="10"/>
      <x:c r="D55" s="10"/>
      <x:c r="E55" s="10"/>
      <x:c r="F55" s="10"/>
      <x:c r="G55" s="10"/>
      <x:c r="H55" s="10"/>
      <x:c r="I55" s="10"/>
      <x:c r="J55" s="10"/>
    </x:row>
    <x:row r="56">
      <x:c r="A56" s="10"/>
      <x:c r="B56" s="14"/>
      <x:c r="C56" s="10"/>
      <x:c r="D56" s="10"/>
      <x:c r="E56" s="10"/>
      <x:c r="F56" s="10"/>
      <x:c r="G56" s="10"/>
      <x:c r="H56" s="10"/>
      <x:c r="I56" s="10"/>
      <x:c r="J56" s="10"/>
    </x:row>
    <x:row r="57">
      <x:c r="A57" s="10"/>
      <x:c r="B57" s="14"/>
      <x:c r="C57" s="10"/>
      <x:c r="D57" s="10"/>
      <x:c r="E57" s="10"/>
      <x:c r="F57" s="10"/>
      <x:c r="G57" s="10"/>
      <x:c r="H57" s="10"/>
      <x:c r="I57" s="10"/>
      <x:c r="J57" s="10"/>
    </x:row>
    <x:row r="58">
      <x:c r="A58" s="10"/>
      <x:c r="B58" s="14"/>
      <x:c r="C58" s="10"/>
      <x:c r="D58" s="10"/>
      <x:c r="E58" s="10"/>
      <x:c r="F58" s="10"/>
      <x:c r="G58" s="10"/>
      <x:c r="H58" s="10"/>
      <x:c r="I58" s="10"/>
      <x:c r="J58" s="10"/>
    </x:row>
    <x:row r="59">
      <x:c r="A59" s="10"/>
      <x:c r="B59" s="14"/>
      <x:c r="C59" s="10"/>
      <x:c r="D59" s="10"/>
      <x:c r="E59" s="10"/>
      <x:c r="F59" s="10"/>
      <x:c r="G59" s="10"/>
      <x:c r="H59" s="10"/>
      <x:c r="I59" s="10"/>
      <x:c r="J59" s="10"/>
    </x:row>
    <x:row r="60">
      <x:c r="A60" s="10"/>
      <x:c r="B60" s="14"/>
      <x:c r="C60" s="10"/>
      <x:c r="D60" s="10"/>
      <x:c r="E60" s="10"/>
      <x:c r="F60" s="10"/>
      <x:c r="G60" s="10"/>
      <x:c r="H60" s="10"/>
      <x:c r="I60" s="10"/>
      <x:c r="J60" s="10"/>
    </x:row>
    <x:row r="61">
      <x:c r="A61" s="10"/>
      <x:c r="B61" s="14"/>
      <x:c r="C61" s="10"/>
      <x:c r="D61" s="10"/>
      <x:c r="E61" s="10"/>
      <x:c r="F61" s="10"/>
      <x:c r="G61" s="10"/>
      <x:c r="H61" s="10"/>
      <x:c r="I61" s="10"/>
      <x:c r="J61" s="10"/>
    </x:row>
    <x:row r="62">
      <x:c r="A62" s="10"/>
      <x:c r="B62" s="14"/>
      <x:c r="C62" s="10"/>
      <x:c r="D62" s="10"/>
      <x:c r="E62" s="10"/>
      <x:c r="F62" s="10"/>
      <x:c r="G62" s="10"/>
      <x:c r="H62" s="10"/>
      <x:c r="I62" s="10"/>
      <x:c r="J62" s="10"/>
    </x:row>
    <x:row r="63">
      <x:c r="A63" s="10"/>
      <x:c r="B63" s="14"/>
      <x:c r="C63" s="10"/>
      <x:c r="D63" s="10"/>
      <x:c r="E63" s="10"/>
      <x:c r="F63" s="10"/>
      <x:c r="G63" s="10"/>
      <x:c r="H63" s="10"/>
      <x:c r="I63" s="10"/>
      <x:c r="J63" s="10"/>
    </x:row>
    <x:row r="64">
      <x:c r="A64" s="10"/>
      <x:c r="B64" s="14"/>
      <x:c r="C64" s="10"/>
      <x:c r="D64" s="10"/>
      <x:c r="E64" s="10"/>
      <x:c r="F64" s="10"/>
      <x:c r="G64" s="10"/>
      <x:c r="H64" s="10"/>
      <x:c r="I64" s="10"/>
      <x:c r="J64" s="10"/>
    </x:row>
    <x:row r="65">
      <x:c r="A65" s="10"/>
      <x:c r="B65" s="14"/>
      <x:c r="C65" s="10"/>
      <x:c r="D65" s="10"/>
      <x:c r="E65" s="10"/>
      <x:c r="F65" s="10"/>
      <x:c r="G65" s="10"/>
      <x:c r="H65" s="10"/>
      <x:c r="I65" s="10"/>
      <x:c r="J65" s="10"/>
    </x:row>
  </x:sheetData>
  <x:mergeCells>
    <x:mergeCell ref="A1:J1"/>
    <x:mergeCell ref="A3:J3"/>
  </x:mergeCells>
  <x:dataValidations count="3">
    <x:dataValidation type="list" sqref="C6:C65">
      <x:formula1>Listas!$A$3:$A$15</x:formula1>
    </x:dataValidation>
    <x:dataValidation type="list" sqref="E6:E65">
      <x:formula1>Listas!$B$3:$B$11</x:formula1>
    </x:dataValidation>
    <x:dataValidation type="list" sqref="F6:F65">
      <x:formula1>Listas!$C$3:$C$8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df418afd354a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30" hidden="0" customWidth="1"/>
    <x:col min="5" max="5" width="45" hidden="0" customWidth="1"/>
    <x:col min="6" max="6" width="35" hidden="0" customWidth="1"/>
  </x:cols>
  <x:sheetData>
    <x:row r="1">
      <x:c r="A1" s="17" t="str">
        <x:v>Alertas y fronteras</x:v>
      </x:c>
      <x:c r="B1" s="17"/>
      <x:c r="C1" s="17"/>
      <x:c r="D1" s="17"/>
      <x:c r="E1" s="17"/>
      <x:c r="F1" s="17"/>
    </x:row>
    <x:row r="3">
      <x:c r="A3" s="7" t="str">
        <x:v>Alertas derivadas de guardrails, retencion y Dataverse. No reemplazan el gate humano para live writes.</x:v>
      </x:c>
      <x:c r="B3" s="7"/>
      <x:c r="C3" s="7"/>
      <x:c r="D3" s="7"/>
      <x:c r="E3" s="7"/>
      <x:c r="F3" s="7"/>
    </x:row>
    <x:row r="5">
      <x:c r="A5" s="3" t="str">
        <x:v>Alerta</x:v>
      </x:c>
      <x:c r="B5" s="3" t="str">
        <x:v>Severidad</x:v>
      </x:c>
      <x:c r="C5" s="3" t="str">
        <x:v>Superficie</x:v>
      </x:c>
      <x:c r="D5" s="3" t="str">
        <x:v>Condicion</x:v>
      </x:c>
      <x:c r="E5" s="3" t="str">
        <x:v>Accion</x:v>
      </x:c>
      <x:c r="F5" s="3" t="str">
        <x:v>Evidencia</x:v>
      </x:c>
    </x:row>
    <x:row r="6">
      <x:c r="A6" s="10" t="str">
        <x:v>ALR-001</x:v>
      </x:c>
      <x:c r="B6" s="10" t="str">
        <x:v>Info</x:v>
      </x:c>
      <x:c r="C6" s="10" t="str">
        <x:v>operativa</x:v>
      </x:c>
      <x:c r="D6" s="10" t="str">
        <x:v>no_active_blocker</x:v>
      </x:c>
      <x:c r="E6" s="10" t="str">
        <x:v>Mantener BLOCKERS actualizado.</x:v>
      </x:c>
      <x:c r="F6" s="10" t="str">
        <x:v>operativa/BLOCKERS.md</x:v>
      </x:c>
    </x:row>
    <x:row r="7">
      <x:c r="A7" s="10" t="str">
        <x:v>ALR-002</x:v>
      </x:c>
      <x:c r="B7" s="10" t="str">
        <x:v>Alta</x:v>
      </x:c>
      <x:c r="C7" s="10" t="str">
        <x:v>dataverse</x:v>
      </x:c>
      <x:c r="D7" s="10" t="str">
        <x:v>live_surface_requires_order</x:v>
      </x:c>
      <x:c r="E7" s="10" t="str">
        <x:v>No ejecutar live sin ambiente, target, owner, rollback, postcheck y evidencia.</x:v>
      </x:c>
      <x:c r="F7" s="10" t="str">
        <x:v>dataverse/GATE.md</x:v>
      </x:c>
    </x:row>
    <x:row r="8">
      <x:c r="A8" s="10" t="str">
        <x:v>ALR-003</x:v>
      </x:c>
      <x:c r="B8" s="10" t="str">
        <x:v>Media</x:v>
      </x:c>
      <x:c r="C8" s="10" t="str">
        <x:v>outputs</x:v>
      </x:c>
      <x:c r="D8" s="10" t="str">
        <x:v>retention_requires_explicit_order</x:v>
      </x:c>
      <x:c r="E8" s="10" t="str">
        <x:v>No compactar ni borrar outputs sin orden y manifest.</x:v>
      </x:c>
      <x:c r="F8" s="10" t="str">
        <x:v>outputs/RETENCION.md</x:v>
      </x:c>
    </x:row>
    <x:row r="9">
      <x:c r="A9" s="10" t="str">
        <x:v>ALR-004</x:v>
      </x:c>
      <x:c r="B9" s="10" t="str">
        <x:v>Media</x:v>
      </x:c>
      <x:c r="C9" s="10" t="str">
        <x:v>hitos</x:v>
      </x:c>
      <x:c r="D9" s="10" t="str">
        <x:v>durable_closeout_requires_version</x:v>
      </x:c>
      <x:c r="E9" s="10" t="str">
        <x:v>Cerrar esta ronda en hito versionado.</x:v>
      </x:c>
      <x:c r="F9" s="10" t="str">
        <x:v>hitos/20260615-cierre-workbench-v1</x:v>
      </x:c>
    </x:row>
    <x:row r="10">
      <x:c r="A10" s="10" t="str">
        <x:v>ALR-005</x:v>
      </x:c>
      <x:c r="B10" s="10" t="str">
        <x:v>Media</x:v>
      </x:c>
      <x:c r="C10" s="10" t="str">
        <x:v>dataverse</x:v>
      </x:c>
      <x:c r="D10" s="10" t="str">
        <x:v>blocker_register_required</x:v>
      </x:c>
      <x:c r="E10" s="10" t="str">
        <x:v>Registrar bloqueos y decisiones en dataverse/REGISTRO_BLOQUEOS.md antes de inventariar de mas.</x:v>
      </x:c>
      <x:c r="F10" s="10" t="str">
        <x:v>dataverse/REGISTRO_BLOQUEOS.md</x:v>
      </x:c>
    </x:row>
    <x:row r="11">
      <x:c r="A11" s="10" t="str">
        <x:v>ALR-006</x:v>
      </x:c>
      <x:c r="B11" s="10" t="str">
        <x:v>Media</x:v>
      </x:c>
      <x:c r="C11" s="10" t="str">
        <x:v>hitos</x:v>
      </x:c>
      <x:c r="D11" s="10" t="str">
        <x:v>auditar_child_classification_pending</x:v>
      </x:c>
      <x:c r="E11" s="10" t="str">
        <x:v>Clasificar hijos de Auditar antes de mover, borrar, promover o escribir.</x:v>
      </x:c>
      <x:c r="F11" s="10" t="str">
        <x:v>operativa/TODO_20260615.md</x:v>
      </x:c>
    </x:row>
    <x:row r="12">
      <x:c r="A12" s="10" t="str">
        <x:v>ALR-007</x:v>
      </x:c>
      <x:c r="B12" s="10" t="str">
        <x:v>Media</x:v>
      </x:c>
      <x:c r="C12" s="10" t="str">
        <x:v>github</x:v>
      </x:c>
      <x:c r="D12" s="10" t="str">
        <x:v>github_write_requires_atomic_order</x:v>
      </x:c>
      <x:c r="E12" s="10" t="str">
        <x:v>No mergear, comentar, pushear ni modificar PRs sin target exacto, owner, rollback, postcheck y evidencia.</x:v>
      </x:c>
      <x:c r="F12" s="10" t="str">
        <x:v>outputs/live_repo_review_20260615/READBACK.md</x:v>
      </x:c>
    </x:row>
    <x:row r="13">
      <x:c r="A13" s="10"/>
      <x:c r="B13" s="10"/>
      <x:c r="C13" s="10"/>
      <x:c r="D13" s="10"/>
      <x:c r="E13" s="10"/>
      <x:c r="F13" s="10"/>
    </x:row>
    <x:row r="14">
      <x:c r="A14" s="10"/>
      <x:c r="B14" s="10"/>
      <x:c r="C14" s="10"/>
      <x:c r="D14" s="10"/>
      <x:c r="E14" s="10"/>
      <x:c r="F14" s="10"/>
    </x:row>
    <x:row r="15">
      <x:c r="A15" s="10"/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  <x:row r="19">
      <x:c r="A19" s="10"/>
      <x:c r="B19" s="10"/>
      <x:c r="C19" s="10"/>
      <x:c r="D19" s="10"/>
      <x:c r="E19" s="10"/>
      <x:c r="F19" s="10"/>
    </x:row>
    <x:row r="20">
      <x:c r="A20" s="10"/>
      <x:c r="B20" s="10"/>
      <x:c r="C20" s="10"/>
      <x:c r="D20" s="10"/>
      <x:c r="E20" s="10"/>
      <x:c r="F20" s="10"/>
    </x:row>
    <x:row r="21">
      <x:c r="A21" s="10"/>
      <x:c r="B21" s="10"/>
      <x:c r="C21" s="10"/>
      <x:c r="D21" s="10"/>
      <x:c r="E21" s="10"/>
      <x:c r="F21" s="10"/>
    </x:row>
    <x:row r="22">
      <x:c r="A22" s="10"/>
      <x:c r="B22" s="10"/>
      <x:c r="C22" s="10"/>
      <x:c r="D22" s="10"/>
      <x:c r="E22" s="10"/>
      <x:c r="F22" s="10"/>
    </x:row>
    <x:row r="23">
      <x:c r="A23" s="10"/>
      <x:c r="B23" s="10"/>
      <x:c r="C23" s="10"/>
      <x:c r="D23" s="10"/>
      <x:c r="E23" s="10"/>
      <x:c r="F23" s="10"/>
    </x:row>
    <x:row r="24">
      <x:c r="A24" s="10"/>
      <x:c r="B24" s="10"/>
      <x:c r="C24" s="10"/>
      <x:c r="D24" s="10"/>
      <x:c r="E24" s="10"/>
      <x:c r="F24" s="10"/>
    </x:row>
    <x:row r="25">
      <x:c r="A25" s="10"/>
      <x:c r="B25" s="10"/>
      <x:c r="C25" s="10"/>
      <x:c r="D25" s="10"/>
      <x:c r="E25" s="10"/>
      <x:c r="F25" s="10"/>
    </x:row>
    <x:row r="26">
      <x:c r="A26" s="10"/>
      <x:c r="B26" s="10"/>
      <x:c r="C26" s="10"/>
      <x:c r="D26" s="10"/>
      <x:c r="E26" s="10"/>
      <x:c r="F26" s="10"/>
    </x:row>
    <x:row r="27">
      <x:c r="A27" s="10"/>
      <x:c r="B27" s="10"/>
      <x:c r="C27" s="10"/>
      <x:c r="D27" s="10"/>
      <x:c r="E27" s="10"/>
      <x:c r="F27" s="10"/>
    </x:row>
    <x:row r="28">
      <x:c r="A28" s="10"/>
      <x:c r="B28" s="10"/>
      <x:c r="C28" s="10"/>
      <x:c r="D28" s="10"/>
      <x:c r="E28" s="10"/>
      <x:c r="F28" s="10"/>
    </x:row>
    <x:row r="29">
      <x:c r="A29" s="10"/>
      <x:c r="B29" s="10"/>
      <x:c r="C29" s="10"/>
      <x:c r="D29" s="10"/>
      <x:c r="E29" s="10"/>
      <x:c r="F29" s="10"/>
    </x:row>
    <x:row r="30">
      <x:c r="A30" s="10"/>
      <x:c r="B30" s="10"/>
      <x:c r="C30" s="10"/>
      <x:c r="D30" s="10"/>
      <x:c r="E30" s="10"/>
      <x:c r="F30" s="10"/>
    </x:row>
    <x:row r="31">
      <x:c r="A31" s="10"/>
      <x:c r="B31" s="10"/>
      <x:c r="C31" s="10"/>
      <x:c r="D31" s="10"/>
      <x:c r="E31" s="10"/>
      <x:c r="F31" s="10"/>
    </x:row>
    <x:row r="32">
      <x:c r="A32" s="10"/>
      <x:c r="B32" s="10"/>
      <x:c r="C32" s="10"/>
      <x:c r="D32" s="10"/>
      <x:c r="E32" s="10"/>
      <x:c r="F32" s="10"/>
    </x:row>
    <x:row r="33">
      <x:c r="A33" s="10"/>
      <x:c r="B33" s="10"/>
      <x:c r="C33" s="10"/>
      <x:c r="D33" s="10"/>
      <x:c r="E33" s="10"/>
      <x:c r="F33" s="10"/>
    </x:row>
    <x:row r="34">
      <x:c r="A34" s="10"/>
      <x:c r="B34" s="10"/>
      <x:c r="C34" s="10"/>
      <x:c r="D34" s="10"/>
      <x:c r="E34" s="10"/>
      <x:c r="F34" s="10"/>
    </x:row>
    <x:row r="35">
      <x:c r="A35" s="10"/>
      <x:c r="B35" s="10"/>
      <x:c r="C35" s="10"/>
      <x:c r="D35" s="10"/>
      <x:c r="E35" s="10"/>
      <x:c r="F35" s="10"/>
    </x:row>
  </x:sheetData>
  <x:mergeCells>
    <x:mergeCell ref="A1:F1"/>
    <x:mergeCell ref="A3:F3"/>
  </x:mergeCells>
  <x:dataValidations count="1">
    <x:dataValidation type="list" sqref="B6:B35">
      <x:formula1>Listas!$D$3:$D$6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86678abca542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</x:cols>
  <x:sheetData>
    <x:row r="1">
      <x:c r="A1" s="3" t="str">
        <x:v>Listas</x:v>
      </x:c>
      <x:c r="B1" s="3"/>
      <x:c r="C1" s="3"/>
      <x:c r="D1" s="3"/>
    </x:row>
    <x:row r="2">
      <x:c r="A2" s="3" t="str">
        <x:v>Superficies</x:v>
      </x:c>
      <x:c r="B2" s="3" t="str">
        <x:v>Playbooks</x:v>
      </x:c>
      <x:c r="C2" s="3" t="str">
        <x:v>Estados</x:v>
      </x:c>
      <x:c r="D2" s="3" t="str">
        <x:v>Severidades</x:v>
      </x:c>
    </x:row>
    <x:row r="3">
      <x:c r="A3" s="10" t="str">
        <x:v>operativa</x:v>
      </x:c>
      <x:c r="B3" s="10" t="str">
        <x:v>00-preflight-gobernado</x:v>
      </x:c>
      <x:c r="C3" s="10" t="str">
        <x:v>Nuevo</x:v>
      </x:c>
      <x:c r="D3" s="10" t="str">
        <x:v>Info</x:v>
      </x:c>
    </x:row>
    <x:row r="4">
      <x:c r="A4" s="10" t="str">
        <x:v>playbooks</x:v>
      </x:c>
      <x:c r="B4" s="10" t="str">
        <x:v>01-iniciar-delta</x:v>
      </x:c>
      <x:c r="C4" s="10" t="str">
        <x:v>Activo</x:v>
      </x:c>
      <x:c r="D4" s="10" t="str">
        <x:v>Baja</x:v>
      </x:c>
    </x:row>
    <x:row r="5">
      <x:c r="A5" s="10" t="str">
        <x:v>workbooks</x:v>
      </x:c>
      <x:c r="B5" s="10" t="str">
        <x:v>02-ejecutar-delta</x:v>
      </x:c>
      <x:c r="C5" s="10" t="str">
        <x:v>Preparado</x:v>
      </x:c>
      <x:c r="D5" s="10" t="str">
        <x:v>Media</x:v>
      </x:c>
    </x:row>
    <x:row r="6">
      <x:c r="A6" s="10" t="str">
        <x:v>outputs</x:v>
      </x:c>
      <x:c r="B6" s="10" t="str">
        <x:v>03-cerrar-delta</x:v>
      </x:c>
      <x:c r="C6" s="10" t="str">
        <x:v>Bloqueado</x:v>
      </x:c>
      <x:c r="D6" s="10" t="str">
        <x:v>Alta</x:v>
      </x:c>
    </x:row>
    <x:row r="7">
      <x:c r="A7" s="10" t="str">
        <x:v>hitos</x:v>
      </x:c>
      <x:c r="B7" s="10" t="str">
        <x:v>04-validar-delta</x:v>
      </x:c>
      <x:c r="C7" s="10" t="str">
        <x:v>Cerrado</x:v>
      </x:c>
      <x:c r="D7" s="10"/>
    </x:row>
    <x:row r="8">
      <x:c r="A8" s="10" t="str">
        <x:v>docs</x:v>
      </x:c>
      <x:c r="B8" s="10" t="str">
        <x:v>05-promover-aprendizaje</x:v>
      </x:c>
      <x:c r="C8" s="10" t="str">
        <x:v>Versionado</x:v>
      </x:c>
      <x:c r="D8" s="10"/>
    </x:row>
    <x:row r="9">
      <x:c r="A9" s="10" t="str">
        <x:v>inventarios</x:v>
      </x:c>
      <x:c r="B9" s="10" t="str">
        <x:v>06-dataverse-gobernado</x:v>
      </x:c>
      <x:c r="C9" s="10"/>
      <x:c r="D9" s="10"/>
    </x:row>
    <x:row r="10">
      <x:c r="A10" s="10" t="str">
        <x:v>tools</x:v>
      </x:c>
      <x:c r="B10" s="10" t="str">
        <x:v>07-dataverse-fronteras</x:v>
      </x:c>
      <x:c r="C10" s="10"/>
      <x:c r="D10" s="10"/>
    </x:row>
    <x:row r="11">
      <x:c r="A11" s="10" t="str">
        <x:v>packages</x:v>
      </x:c>
      <x:c r="B11" s="10" t="str">
        <x:v>08-github-readonly-cierre</x:v>
      </x:c>
      <x:c r="C11" s="10"/>
      <x:c r="D11" s="10"/>
    </x:row>
    <x:row r="12">
      <x:c r="A12" s="10" t="str">
        <x:v>atomic</x:v>
      </x:c>
      <x:c r="B12" s="10"/>
      <x:c r="C12" s="10"/>
      <x:c r="D12" s="10"/>
    </x:row>
    <x:row r="13">
      <x:c r="A13" s="10" t="str">
        <x:v>dataverse</x:v>
      </x:c>
      <x:c r="B13" s="10"/>
      <x:c r="C13" s="10"/>
      <x:c r="D13" s="10"/>
    </x:row>
    <x:row r="14">
      <x:c r="A14" s="10" t="str">
        <x:v>root</x:v>
      </x:c>
      <x:c r="B14" s="10"/>
      <x:c r="C14" s="10"/>
      <x:c r="D14" s="10"/>
    </x:row>
    <x:row r="15">
      <x:c r="A15" s="10" t="str">
        <x:v>github</x:v>
      </x:c>
      <x:c r="B15" s="10"/>
      <x:c r="C15" s="10"/>
      <x:c r="D15" s="10"/>
    </x:row>
  </x:sheetData>
  <x:mergeCells>
    <x:mergeCell ref="A1:D1"/>
  </x:mergeCells>
  <x:pageMargins left="0.7" right="0.7" top="0.75" bottom="0.75" header="0.3" footer="0.3"/>
</x:worksheet>
</file>